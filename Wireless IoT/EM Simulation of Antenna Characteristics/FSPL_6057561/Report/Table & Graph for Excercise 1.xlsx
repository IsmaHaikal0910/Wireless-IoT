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ma\Desktop\School\IoT Labor\Kurs Exercise 1\FSPL_6057561\Report\"/>
    </mc:Choice>
  </mc:AlternateContent>
  <xr:revisionPtr revIDLastSave="0" documentId="8_{A895F68A-315E-4E46-92F3-DA9A6D204272}" xr6:coauthVersionLast="47" xr6:coauthVersionMax="47" xr10:uidLastSave="{00000000-0000-0000-0000-000000000000}"/>
  <bookViews>
    <workbookView xWindow="19095" yWindow="10800" windowWidth="19410" windowHeight="10905" xr2:uid="{EA95A416-B993-4678-819A-115293A63C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E20" i="1"/>
  <c r="E21" i="1"/>
  <c r="E22" i="1"/>
  <c r="E23" i="1"/>
  <c r="E24" i="1"/>
  <c r="E25" i="1"/>
  <c r="E26" i="1"/>
  <c r="E27" i="1"/>
  <c r="E28" i="1"/>
  <c r="E29" i="1"/>
  <c r="D21" i="1"/>
  <c r="D22" i="1"/>
  <c r="D23" i="1"/>
  <c r="D24" i="1"/>
  <c r="D25" i="1"/>
  <c r="D26" i="1"/>
  <c r="D27" i="1"/>
  <c r="D28" i="1"/>
  <c r="D29" i="1"/>
  <c r="D20" i="1"/>
  <c r="B29" i="1"/>
  <c r="B28" i="1"/>
  <c r="B27" i="1"/>
  <c r="B26" i="1"/>
  <c r="B25" i="1"/>
  <c r="B24" i="1"/>
  <c r="B23" i="1"/>
  <c r="B22" i="1"/>
  <c r="B21" i="1"/>
  <c r="B20" i="1"/>
  <c r="D6" i="1"/>
  <c r="D3" i="1"/>
  <c r="D4" i="1"/>
  <c r="D5" i="1"/>
  <c r="D7" i="1"/>
  <c r="D8" i="1"/>
  <c r="D9" i="1"/>
  <c r="D10" i="1"/>
  <c r="D11" i="1"/>
  <c r="B2" i="1"/>
  <c r="B3" i="1"/>
  <c r="B4" i="1"/>
  <c r="B5" i="1"/>
  <c r="B6" i="1"/>
  <c r="B7" i="1"/>
  <c r="B8" i="1"/>
  <c r="B9" i="1"/>
  <c r="B10" i="1"/>
  <c r="B11" i="1"/>
</calcChain>
</file>

<file path=xl/sharedStrings.xml><?xml version="1.0" encoding="utf-8"?>
<sst xmlns="http://schemas.openxmlformats.org/spreadsheetml/2006/main" count="10" uniqueCount="7">
  <si>
    <t>distance in m</t>
  </si>
  <si>
    <t>distance in km</t>
  </si>
  <si>
    <t>frequency in MHz</t>
  </si>
  <si>
    <t>FSPL in dB</t>
  </si>
  <si>
    <t>Theoretical Values</t>
  </si>
  <si>
    <t>FSPL in S Parameter</t>
  </si>
  <si>
    <t>negative FSPL to compare with theoretical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</si>
</sst>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Theoretical FSPL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FSPL in dB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Sheet1!$B$2:$B$11</c:f>
              <c:numCache>
                <c:formatCode>General</c:formatCode>
                <c:ptCount val="10"/>
                <c:pt idx="0">
                  <c:v>2E-3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0.02</c:v>
                </c:pt>
                <c:pt idx="4">
                  <c:v>0.05</c:v>
                </c:pt>
                <c:pt idx="5">
                  <c:v>0.1</c:v>
                </c:pt>
                <c:pt idx="6">
                  <c:v>0.2</c:v>
                </c:pt>
                <c:pt idx="7">
                  <c:v>0.5</c:v>
                </c:pt>
                <c:pt idx="8">
                  <c:v>1</c:v>
                </c:pt>
                <c:pt idx="9">
                  <c:v>2</c:v>
                </c:pt>
              </c:numCache>
            </c:numRef>
          </c:xVal>
          <c:yVal>
            <c:numRef>
              <c:f>Sheet1!$D$2:$D$11</c:f>
              <c:numCache>
                <c:formatCode>General</c:formatCode>
                <c:ptCount val="10"/>
                <c:pt idx="0">
                  <c:v>17.998598932938378</c:v>
                </c:pt>
                <c:pt idx="1">
                  <c:v>25.957399106379128</c:v>
                </c:pt>
                <c:pt idx="2">
                  <c:v>31.977999019658753</c:v>
                </c:pt>
                <c:pt idx="3">
                  <c:v>37.998598932938378</c:v>
                </c:pt>
                <c:pt idx="4">
                  <c:v>45.957399106379128</c:v>
                </c:pt>
                <c:pt idx="5">
                  <c:v>51.977999019658753</c:v>
                </c:pt>
                <c:pt idx="6">
                  <c:v>57.998598932938378</c:v>
                </c:pt>
                <c:pt idx="7">
                  <c:v>65.957399106379128</c:v>
                </c:pt>
                <c:pt idx="8">
                  <c:v>71.977999019658753</c:v>
                </c:pt>
                <c:pt idx="9">
                  <c:v>77.998598932938378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A35-4A00-9C32-9674C4112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3945487"/>
        <c:axId val="1113945967"/>
      </c:scatterChart>
      <c:valAx>
        <c:axId val="1113945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in 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945967"/>
        <c:crosses val="autoZero"/>
        <c:crossBetween val="midCat"/>
      </c:valAx>
      <c:valAx>
        <c:axId val="111394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FSPL </a:t>
                </a:r>
                <a:r>
                  <a:rPr lang="en-US"/>
                  <a:t>in dB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9454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-ve simulated FSPL to compare with theoretical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Sheet1!$E$19</c:f>
              <c:strCache>
                <c:ptCount val="1"/>
                <c:pt idx="0">
                  <c:v>negative FSPL to compare with theoretical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Sheet1!$B$20:$B$29</c:f>
              <c:numCache>
                <c:formatCode>General</c:formatCode>
                <c:ptCount val="10"/>
                <c:pt idx="0">
                  <c:v>2E-3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0.02</c:v>
                </c:pt>
                <c:pt idx="4">
                  <c:v>0.05</c:v>
                </c:pt>
                <c:pt idx="5">
                  <c:v>0.1</c:v>
                </c:pt>
                <c:pt idx="6">
                  <c:v>0.2</c:v>
                </c:pt>
                <c:pt idx="7">
                  <c:v>0.5</c:v>
                </c:pt>
                <c:pt idx="8">
                  <c:v>1</c:v>
                </c:pt>
                <c:pt idx="9">
                  <c:v>2</c:v>
                </c:pt>
              </c:numCache>
            </c:numRef>
          </c:xVal>
          <c:yVal>
            <c:numRef>
              <c:f>Sheet1!$E$20:$E$29</c:f>
              <c:numCache>
                <c:formatCode>General</c:formatCode>
                <c:ptCount val="10"/>
                <c:pt idx="0">
                  <c:v>14.516057624044878</c:v>
                </c:pt>
                <c:pt idx="1">
                  <c:v>21.924845119958437</c:v>
                </c:pt>
                <c:pt idx="2">
                  <c:v>27.791396368020258</c:v>
                </c:pt>
                <c:pt idx="3">
                  <c:v>33.782906344924591</c:v>
                </c:pt>
                <c:pt idx="4">
                  <c:v>41.732752495281026</c:v>
                </c:pt>
                <c:pt idx="5">
                  <c:v>47.751910443323773</c:v>
                </c:pt>
                <c:pt idx="6">
                  <c:v>53.771874271563334</c:v>
                </c:pt>
                <c:pt idx="7">
                  <c:v>61.730462427008483</c:v>
                </c:pt>
                <c:pt idx="8">
                  <c:v>67.750977534538904</c:v>
                </c:pt>
                <c:pt idx="9">
                  <c:v>73.77157744781853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E9D-497B-B2D0-6DCCB2DBF8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8437343"/>
        <c:axId val="1148436383"/>
      </c:scatterChart>
      <c:valAx>
        <c:axId val="1148437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in 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436383"/>
        <c:crosses val="autoZero"/>
        <c:crossBetween val="midCat"/>
      </c:valAx>
      <c:valAx>
        <c:axId val="1148436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-ve</a:t>
                </a:r>
                <a:r>
                  <a:rPr lang="en-US" baseline="0"/>
                  <a:t> FSPL in dB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4373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247650</xdr:colOff>
      <xdr:row>0</xdr:row>
      <xdr:rowOff>171450</xdr:rowOff>
    </xdr:from>
    <xdr:to>
      <xdr:col>13</xdr:col>
      <xdr:colOff>552450</xdr:colOff>
      <xdr:row>15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82106D-B2B1-4FD0-87C7-AB58DFE47E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219075</xdr:colOff>
      <xdr:row>19</xdr:row>
      <xdr:rowOff>147637</xdr:rowOff>
    </xdr:from>
    <xdr:to>
      <xdr:col>13</xdr:col>
      <xdr:colOff>552450</xdr:colOff>
      <xdr:row>34</xdr:row>
      <xdr:rowOff>33337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7C98EE7-A92B-9E70-C328-AD22A45E96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80640-73E2-4375-A547-5A7421267C76}">
  <dimension ref="A1:G29"/>
  <sheetViews>
    <sheetView tabSelected="1" topLeftCell="C7" zoomScale="124" zoomScaleNormal="124" workbookViewId="0">
      <selection activeCell="D2" sqref="D2:D11"/>
    </sheetView>
  </sheetViews>
  <sheetFormatPr defaultRowHeight="15" x14ac:dyDescent="0.25"/>
  <cols>
    <col min="1" max="1" width="13.28515625" customWidth="1"/>
    <col min="2" max="2" width="13.7109375" customWidth="1"/>
    <col min="3" max="3" width="17.5703125" customWidth="1"/>
    <col min="4" max="4" width="10.7109375" customWidth="1"/>
    <col min="6" max="6" width="18.28515625" customWidth="1"/>
    <col min="7" max="7" width="8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F1" t="s">
        <v>4</v>
      </c>
    </row>
    <row r="2" spans="1:6" x14ac:dyDescent="0.25">
      <c r="A2">
        <v>2</v>
      </c>
      <c r="B2">
        <f>A2/1000</f>
        <v>2E-3</v>
      </c>
      <c r="C2">
        <v>94.82</v>
      </c>
      <c r="D2">
        <f>20*LOG10(B2)+20*LOG10(C2)+32.44</f>
        <v>17.998598932938378</v>
      </c>
    </row>
    <row r="3" spans="1:6" x14ac:dyDescent="0.25">
      <c r="A3">
        <v>5</v>
      </c>
      <c r="B3">
        <f t="shared" ref="B2:B11" si="0">A3/1000</f>
        <v>5.0000000000000001E-3</v>
      </c>
      <c r="C3">
        <v>94.82</v>
      </c>
      <c r="D3">
        <f>20*LOG10(B3)+20*LOG10(C3)+32.44</f>
        <v>25.957399106379128</v>
      </c>
    </row>
    <row r="4" spans="1:6" x14ac:dyDescent="0.25">
      <c r="A4">
        <v>10</v>
      </c>
      <c r="B4">
        <f t="shared" si="0"/>
        <v>0.01</v>
      </c>
      <c r="C4">
        <v>94.82</v>
      </c>
      <c r="D4">
        <f t="shared" ref="D3:D11" si="1">20*LOG10(B4)+20*LOG10(C4)+32.44</f>
        <v>31.977999019658753</v>
      </c>
    </row>
    <row r="5" spans="1:6" x14ac:dyDescent="0.25">
      <c r="A5">
        <v>20</v>
      </c>
      <c r="B5">
        <f t="shared" si="0"/>
        <v>0.02</v>
      </c>
      <c r="C5">
        <v>94.82</v>
      </c>
      <c r="D5">
        <f t="shared" si="1"/>
        <v>37.998598932938378</v>
      </c>
    </row>
    <row r="6" spans="1:6" x14ac:dyDescent="0.25">
      <c r="A6">
        <v>50</v>
      </c>
      <c r="B6">
        <f t="shared" si="0"/>
        <v>0.05</v>
      </c>
      <c r="C6">
        <v>94.82</v>
      </c>
      <c r="D6">
        <f>20*LOG10(B6)+20*LOG10(C6)+32.44</f>
        <v>45.957399106379128</v>
      </c>
    </row>
    <row r="7" spans="1:6" x14ac:dyDescent="0.25">
      <c r="A7">
        <v>100</v>
      </c>
      <c r="B7">
        <f t="shared" si="0"/>
        <v>0.1</v>
      </c>
      <c r="C7">
        <v>94.82</v>
      </c>
      <c r="D7">
        <f t="shared" si="1"/>
        <v>51.977999019658753</v>
      </c>
    </row>
    <row r="8" spans="1:6" x14ac:dyDescent="0.25">
      <c r="A8">
        <v>200</v>
      </c>
      <c r="B8">
        <f t="shared" si="0"/>
        <v>0.2</v>
      </c>
      <c r="C8">
        <v>94.82</v>
      </c>
      <c r="D8">
        <f t="shared" si="1"/>
        <v>57.998598932938378</v>
      </c>
    </row>
    <row r="9" spans="1:6" x14ac:dyDescent="0.25">
      <c r="A9">
        <v>500</v>
      </c>
      <c r="B9">
        <f t="shared" si="0"/>
        <v>0.5</v>
      </c>
      <c r="C9">
        <v>94.82</v>
      </c>
      <c r="D9">
        <f t="shared" si="1"/>
        <v>65.957399106379128</v>
      </c>
    </row>
    <row r="10" spans="1:6" x14ac:dyDescent="0.25">
      <c r="A10">
        <v>1000</v>
      </c>
      <c r="B10">
        <f t="shared" si="0"/>
        <v>1</v>
      </c>
      <c r="C10">
        <v>94.82</v>
      </c>
      <c r="D10">
        <f t="shared" si="1"/>
        <v>71.977999019658753</v>
      </c>
    </row>
    <row r="11" spans="1:6" x14ac:dyDescent="0.25">
      <c r="A11">
        <v>2000</v>
      </c>
      <c r="B11">
        <f t="shared" si="0"/>
        <v>2</v>
      </c>
      <c r="C11">
        <v>94.82</v>
      </c>
      <c r="D11">
        <f t="shared" si="1"/>
        <v>77.998598932938378</v>
      </c>
    </row>
    <row r="19" spans="1:5" x14ac:dyDescent="0.25">
      <c r="A19" t="s">
        <v>0</v>
      </c>
      <c r="B19" t="s">
        <v>1</v>
      </c>
      <c r="C19" t="s">
        <v>5</v>
      </c>
      <c r="D19" t="s">
        <v>3</v>
      </c>
      <c r="E19" t="s">
        <v>6</v>
      </c>
    </row>
    <row r="20" spans="1:5" x14ac:dyDescent="0.25">
      <c r="A20">
        <v>2</v>
      </c>
      <c r="B20">
        <f>A20/1000</f>
        <v>2E-3</v>
      </c>
      <c r="C20">
        <v>0.18801699999999999</v>
      </c>
      <c r="D20">
        <f>20*LOG10(C20)</f>
        <v>-14.516057624044878</v>
      </c>
      <c r="E20">
        <f>-D20</f>
        <v>14.516057624044878</v>
      </c>
    </row>
    <row r="21" spans="1:5" x14ac:dyDescent="0.25">
      <c r="A21">
        <v>5</v>
      </c>
      <c r="B21">
        <f t="shared" ref="B21:B29" si="2">A21/1000</f>
        <v>5.0000000000000001E-3</v>
      </c>
      <c r="C21">
        <v>8.0123100000000003E-2</v>
      </c>
      <c r="D21">
        <f t="shared" ref="D21:D29" si="3">20*LOG10(C21)</f>
        <v>-21.924845119958437</v>
      </c>
      <c r="E21">
        <f t="shared" ref="E21:E29" si="4">-D21</f>
        <v>21.924845119958437</v>
      </c>
    </row>
    <row r="22" spans="1:5" x14ac:dyDescent="0.25">
      <c r="A22">
        <v>10</v>
      </c>
      <c r="B22">
        <f t="shared" si="2"/>
        <v>0.01</v>
      </c>
      <c r="C22">
        <v>4.0778399999999999E-2</v>
      </c>
      <c r="D22">
        <f t="shared" si="3"/>
        <v>-27.791396368020258</v>
      </c>
      <c r="E22">
        <f t="shared" si="4"/>
        <v>27.791396368020258</v>
      </c>
    </row>
    <row r="23" spans="1:5" x14ac:dyDescent="0.25">
      <c r="A23">
        <v>20</v>
      </c>
      <c r="B23">
        <f t="shared" si="2"/>
        <v>0.02</v>
      </c>
      <c r="C23">
        <v>2.0457599999999999E-2</v>
      </c>
      <c r="D23">
        <f t="shared" si="3"/>
        <v>-33.782906344924591</v>
      </c>
      <c r="E23">
        <f t="shared" si="4"/>
        <v>33.782906344924591</v>
      </c>
    </row>
    <row r="24" spans="1:5" x14ac:dyDescent="0.25">
      <c r="A24">
        <v>50</v>
      </c>
      <c r="B24">
        <f t="shared" si="2"/>
        <v>0.05</v>
      </c>
      <c r="C24">
        <v>8.1914799999999992E-3</v>
      </c>
      <c r="D24">
        <f t="shared" si="3"/>
        <v>-41.732752495281026</v>
      </c>
      <c r="E24">
        <f t="shared" si="4"/>
        <v>41.732752495281026</v>
      </c>
    </row>
    <row r="25" spans="1:5" x14ac:dyDescent="0.25">
      <c r="A25">
        <v>100</v>
      </c>
      <c r="B25">
        <f t="shared" si="2"/>
        <v>0.1</v>
      </c>
      <c r="C25">
        <v>4.0964199999999999E-3</v>
      </c>
      <c r="D25">
        <f t="shared" si="3"/>
        <v>-47.751910443323773</v>
      </c>
      <c r="E25">
        <f t="shared" si="4"/>
        <v>47.751910443323773</v>
      </c>
    </row>
    <row r="26" spans="1:5" x14ac:dyDescent="0.25">
      <c r="A26">
        <v>200</v>
      </c>
      <c r="B26">
        <f t="shared" si="2"/>
        <v>0.2</v>
      </c>
      <c r="C26">
        <v>2.0483599999999999E-3</v>
      </c>
      <c r="D26">
        <f t="shared" si="3"/>
        <v>-53.771874271563334</v>
      </c>
      <c r="E26">
        <f t="shared" si="4"/>
        <v>53.771874271563334</v>
      </c>
    </row>
    <row r="27" spans="1:5" x14ac:dyDescent="0.25">
      <c r="A27">
        <v>500</v>
      </c>
      <c r="B27">
        <f t="shared" si="2"/>
        <v>0.5</v>
      </c>
      <c r="C27">
        <v>8.1936400000000005E-4</v>
      </c>
      <c r="D27">
        <f t="shared" si="3"/>
        <v>-61.730462427008483</v>
      </c>
      <c r="E27">
        <f t="shared" si="4"/>
        <v>61.730462427008483</v>
      </c>
    </row>
    <row r="28" spans="1:5" x14ac:dyDescent="0.25">
      <c r="A28">
        <v>1000</v>
      </c>
      <c r="B28">
        <f t="shared" si="2"/>
        <v>1</v>
      </c>
      <c r="C28">
        <v>4.0968599999999998E-4</v>
      </c>
      <c r="D28">
        <f t="shared" si="3"/>
        <v>-67.750977534538904</v>
      </c>
      <c r="E28">
        <f t="shared" si="4"/>
        <v>67.750977534538904</v>
      </c>
    </row>
    <row r="29" spans="1:5" x14ac:dyDescent="0.25">
      <c r="A29">
        <v>2000</v>
      </c>
      <c r="B29">
        <f t="shared" si="2"/>
        <v>2</v>
      </c>
      <c r="C29">
        <v>2.0484299999999999E-4</v>
      </c>
      <c r="D29">
        <f t="shared" si="3"/>
        <v>-73.77157744781853</v>
      </c>
      <c r="E29">
        <f t="shared" si="4"/>
        <v>73.77157744781853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ISMA HAIKAL BIN ISMAIL</dc:creator>
  <cp:lastModifiedBy>MUHAMMAD ISMA HAIKAL BIN ISMAIL</cp:lastModifiedBy>
  <dcterms:created xsi:type="dcterms:W3CDTF">2025-12-13T10:55:14Z</dcterms:created>
  <dcterms:modified xsi:type="dcterms:W3CDTF">2025-12-13T12:31:31Z</dcterms:modified>
</cp:coreProperties>
</file>